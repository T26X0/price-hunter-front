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mitrijzorin/IdeaProjects/untitled/price-hunter-front/outputs/01a061ab-8c41-7ab1-ae10-d197ca8cfc5e/"/>
    </mc:Choice>
  </mc:AlternateContent>
  <xr:revisionPtr revIDLastSave="0" documentId="11_9DED461C7CDF36BA48AAE90F38F9CB7E203B858D" xr6:coauthVersionLast="47" xr6:coauthVersionMax="47" xr10:uidLastSave="{00000000-0000-0000-0000-000000000000}"/>
  <bookViews>
    <workbookView xWindow="0" yWindow="680" windowWidth="29400" windowHeight="17040" xr2:uid="{00000000-000D-0000-FFFF-FFFF00000000}"/>
  </bookViews>
  <sheets>
    <sheet name="Бутики BORK Р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<sst xmlns="http://schemas.openxmlformats.org/spreadsheetml/2006/main" count="146" uniqueCount="107">
  <si>
    <t>Бутики BORK в России: сравнение 2ГИС и Яндекс Карт</t>
  </si>
  <si>
    <t>Сводка</t>
  </si>
  <si>
    <t>Срез данных: 23.09.2026. Зарубежные филиалы не включены.</t>
  </si>
  <si>
    <t>Бутиков в России</t>
  </si>
  <si>
    <t>Источники: официальная карта BORK — https://www.bork.ru/support/pickup/; 2ГИС — https://2gis.ru/; Яндекс Карты — https://yandex.ru/maps/</t>
  </si>
  <si>
    <t>Карточек с рейтингом 2ГИС</t>
  </si>
  <si>
    <t>№</t>
  </si>
  <si>
    <t>Город / регион</t>
  </si>
  <si>
    <t>Точка / адрес</t>
  </si>
  <si>
    <t>Рейтинг 2ГИС</t>
  </si>
  <si>
    <t>Оценок 2ГИС</t>
  </si>
  <si>
    <t>Рейтинг Яндекс</t>
  </si>
  <si>
    <t>Оценок Яндекс</t>
  </si>
  <si>
    <t>Средний рейтинг 2ГИС</t>
  </si>
  <si>
    <t>Москва</t>
  </si>
  <si>
    <t>Афимолл Сити, Пресненская наб., 2</t>
  </si>
  <si>
    <t>2ГИС ниже 3,0</t>
  </si>
  <si>
    <t>2-й Смоленский пер., 1/4</t>
  </si>
  <si>
    <t>2ГИС без рейтинга</t>
  </si>
  <si>
    <t>ТРЦ «Европейский», пл. Киевского вокзала, 2</t>
  </si>
  <si>
    <t>Карточек с рейтингом Яндекс</t>
  </si>
  <si>
    <t>ОЦ «Столешники», Столешников пер., 11</t>
  </si>
  <si>
    <t>Средний рейтинг Яндекс</t>
  </si>
  <si>
    <t>Садовая-Спасская ул., 3 стр. 3</t>
  </si>
  <si>
    <t>Яндекс ниже 3,0</t>
  </si>
  <si>
    <t>ТРЦ «Ереван Плаза», Большая Тульская ул., 13</t>
  </si>
  <si>
    <t>Яндекс без рейтинга</t>
  </si>
  <si>
    <t>ЦУМ, ул. Петровка, 2</t>
  </si>
  <si>
    <t>ТРК «Атриум», ул. Земляной Вал, 33</t>
  </si>
  <si>
    <t>Stella di Mosca, Большая Никитская ул., 9</t>
  </si>
  <si>
    <t>Ленинский проспект, 38а к1</t>
  </si>
  <si>
    <t>ГУМ, Красная площадь, 3</t>
  </si>
  <si>
    <t>Большая Садовая ул., 10</t>
  </si>
  <si>
    <t>ТРЦ «Авиапарк», Ходынский бульвар, 4</t>
  </si>
  <si>
    <t>ТЦ «Времена года», Кутузовский проспект, 48</t>
  </si>
  <si>
    <t>ТЦ «Капитолий», проспект Вернадского, 6</t>
  </si>
  <si>
    <t>ТРЦ «Европолис», проспект Мира, 211 к2</t>
  </si>
  <si>
    <t>ТРЦ «Метрополис», Ленинградское ш., 16а стр. 4</t>
  </si>
  <si>
    <t>ТРЦ «Рио», Ленинский проспект, 109</t>
  </si>
  <si>
    <t>ТЦ Avenue Southwest, проспект Вернадского, 86а</t>
  </si>
  <si>
    <t>ТРЦ Columbus, Кировоградская ул., 13а</t>
  </si>
  <si>
    <t>ТЦ «Европарк», Рублёвское ш., 62</t>
  </si>
  <si>
    <t>Московская область</t>
  </si>
  <si>
    <t>Crocus City Mall, МКАД 66 км, к2</t>
  </si>
  <si>
    <t>ТРЦ «Саларис», Киевское ш. 23 км, 1</t>
  </si>
  <si>
    <t>Outlet Village Белая Дача, Новорязанское ш., 8</t>
  </si>
  <si>
    <t>МЕГА Химки, Ленинградское ш., 5 км</t>
  </si>
  <si>
    <t>Dream House, Барвиха, 85/1</t>
  </si>
  <si>
    <t>Riga Mall, Новорижское ш., 23 км</t>
  </si>
  <si>
    <t>Vnukovo Outlet Village, Киевское ш., 8 км</t>
  </si>
  <si>
    <t>Novaya Riga Outlet Village, Новорижское ш., 24 км</t>
  </si>
  <si>
    <t>Екатеринбург</t>
  </si>
  <si>
    <t>ул. Радищева, 25</t>
  </si>
  <si>
    <t>Челябинск</t>
  </si>
  <si>
    <t>проспект Ленина, 49</t>
  </si>
  <si>
    <t>Пермь</t>
  </si>
  <si>
    <t>ТРЦ «Планета», ш. Космонавтов, 162Б</t>
  </si>
  <si>
    <t>Тюмень</t>
  </si>
  <si>
    <t>ТРЦ «Кристалл», ул. Дмитрия Менделеева, 1а</t>
  </si>
  <si>
    <t>Казань</t>
  </si>
  <si>
    <t>ул. Касаткина, 11а</t>
  </si>
  <si>
    <t>ТЦ KazanMall, ул. Павлюхина, 91</t>
  </si>
  <si>
    <t>Самара</t>
  </si>
  <si>
    <t>Станкозавод, ул. Куйбышева, 128</t>
  </si>
  <si>
    <t>ТРЦ «Космопорт», ул. Дыбенко, 30</t>
  </si>
  <si>
    <t>Сургут</t>
  </si>
  <si>
    <t>ТРЦ «Аура», Нефтеюганское ш., 1</t>
  </si>
  <si>
    <t>Нижний Новгород</t>
  </si>
  <si>
    <t>ТРК «Небо», Большая Покровская ул., 82</t>
  </si>
  <si>
    <t>Нижне-Волжская наб., 8/7</t>
  </si>
  <si>
    <t>Новосибирск</t>
  </si>
  <si>
    <t>ТРЦ «Аура», Военная ул., 5</t>
  </si>
  <si>
    <t>Тула</t>
  </si>
  <si>
    <t>Советская ул., 10 стр. 2</t>
  </si>
  <si>
    <t>Воронеж</t>
  </si>
  <si>
    <t>ТРЦ «Галерея Чижова», Кольцовская ул., 35</t>
  </si>
  <si>
    <t>Сити-парк «Град», Парковая ул., 3, пос. Солнечный</t>
  </si>
  <si>
    <t>Ростов-на-Дону</t>
  </si>
  <si>
    <t>Большая Садовая ул., 25</t>
  </si>
  <si>
    <t>ТРК «Горизонт», проспект Михаила Нагибина, 32/2</t>
  </si>
  <si>
    <t>Санкт-Петербург</t>
  </si>
  <si>
    <t>Большой проспект П. С., 76–78</t>
  </si>
  <si>
    <t>Невский проспект, 119</t>
  </si>
  <si>
    <t>Большая Конюшенная ул., 13</t>
  </si>
  <si>
    <t>ТРЦ «Голливуд», Коломяжский проспект, 22</t>
  </si>
  <si>
    <t>Московский проспект, 175</t>
  </si>
  <si>
    <t>Outlet Village Пулково, Пулковское ш., 60 к1</t>
  </si>
  <si>
    <t>Махачкала</t>
  </si>
  <si>
    <t>ул. Батырая, 31</t>
  </si>
  <si>
    <t>Грозный</t>
  </si>
  <si>
    <t>Grozny Mall, проспект В. В. Путина, 40</t>
  </si>
  <si>
    <t>Красноярск</t>
  </si>
  <si>
    <t>проспект Мира, 112</t>
  </si>
  <si>
    <t>Краснодар</t>
  </si>
  <si>
    <t>ТРЦ «Галерея», ул. им. Володи Головатого, 313</t>
  </si>
  <si>
    <t>Сочи</t>
  </si>
  <si>
    <t>ул. Войкова, 1</t>
  </si>
  <si>
    <t>ТРЦ «МореМолл», ул. Новая Заря, 7</t>
  </si>
  <si>
    <t>Курорт «Красная Поляна», ул. Горная Карусель, 9Б/1</t>
  </si>
  <si>
    <t>Калининград</t>
  </si>
  <si>
    <t>ТРЦ «Европа», Театральная ул., 30</t>
  </si>
  <si>
    <t>Иркутск</t>
  </si>
  <si>
    <t>ТРК «Модный квартал», ул. 3 Июля, 25</t>
  </si>
  <si>
    <t>Хабаровск</t>
  </si>
  <si>
    <t>Brosko Mall, Пионерская ул., 2в</t>
  </si>
  <si>
    <t>Владивосток</t>
  </si>
  <si>
    <t>Светланская ул., 31Б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</si>
</sst>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b/>
      <sz val="15"/>
      <color rgb="FF17324D"/>
      <name val="Arial"/>
    </font>
    <font>
      <i/>
      <sz val="10"/>
      <color rgb="FF53616F"/>
      <name val="Arial"/>
    </font>
    <font>
      <b/>
      <sz val="10"/>
      <color rgb="FFFFFFFF"/>
      <name val="Arial"/>
    </font>
    <font>
      <sz val="10"/>
      <color rgb="FF1F2933"/>
      <name val="Arial"/>
    </font>
    <font>
      <b/>
      <sz val="11"/>
      <color rgb="FF17324D"/>
      <name val="Arial"/>
    </font>
    <font>
      <b/>
      <sz val="10"/>
      <color rgb="FF17324D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7EEF5"/>
      </patternFill>
    </fill>
  </fills>
  <borders count="8">
    <border>
      <left/>
      <right/>
      <top/>
      <bottom/>
      <diagonal/>
    </border>
    <border>
      <left style="thin">
        <color rgb="FF9CADBC"/>
      </left>
      <right/>
      <top/>
      <bottom/>
      <diagonal/>
    </border>
    <border>
      <left/>
      <right style="thin">
        <color rgb="FF9CADBC"/>
      </right>
      <top/>
      <bottom/>
      <diagonal/>
    </border>
    <border>
      <left style="thin">
        <color rgb="FF9CADBC"/>
      </left>
      <right/>
      <top/>
      <bottom style="thin">
        <color rgb="FF9CADBC"/>
      </bottom>
      <diagonal/>
    </border>
    <border>
      <left/>
      <right/>
      <top/>
      <bottom style="thin">
        <color rgb="FF9CADBC"/>
      </bottom>
      <diagonal/>
    </border>
    <border>
      <left/>
      <right style="thin">
        <color rgb="FF9CADBC"/>
      </right>
      <top/>
      <bottom style="thin">
        <color rgb="FF9CADB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7E0E8"/>
      </left>
      <right style="thin">
        <color rgb="FFD7E0E8"/>
      </right>
      <top style="thin">
        <color rgb="FFD7E0E8"/>
      </top>
      <bottom style="thin">
        <color rgb="FFD7E0E8"/>
      </bottom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4" fillId="0" borderId="0" xfId="1" applyFont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164" fontId="4" fillId="0" borderId="0" xfId="1" applyNumberFormat="1" applyFont="1" applyAlignment="1">
      <alignment horizontal="right" vertical="center"/>
    </xf>
    <xf numFmtId="164" fontId="4" fillId="0" borderId="4" xfId="1" applyNumberFormat="1" applyFont="1" applyBorder="1" applyAlignment="1">
      <alignment horizontal="right" vertical="center"/>
    </xf>
    <xf numFmtId="3" fontId="4" fillId="0" borderId="2" xfId="1" applyNumberFormat="1" applyFont="1" applyBorder="1" applyAlignment="1">
      <alignment horizontal="right" vertical="center"/>
    </xf>
    <xf numFmtId="3" fontId="4" fillId="0" borderId="5" xfId="1" applyNumberFormat="1" applyFont="1" applyBorder="1" applyAlignment="1">
      <alignment horizontal="right" vertical="center"/>
    </xf>
    <xf numFmtId="0" fontId="4" fillId="0" borderId="7" xfId="1" applyFont="1" applyBorder="1" applyAlignment="1">
      <alignment vertical="center"/>
    </xf>
    <xf numFmtId="0" fontId="6" fillId="0" borderId="7" xfId="1" applyFont="1" applyBorder="1" applyAlignment="1">
      <alignment horizontal="right" vertical="center"/>
    </xf>
    <xf numFmtId="164" fontId="6" fillId="0" borderId="7" xfId="1" applyNumberFormat="1" applyFont="1" applyBorder="1" applyAlignment="1">
      <alignment horizontal="right" vertical="center"/>
    </xf>
    <xf numFmtId="0" fontId="3" fillId="2" borderId="6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5" fillId="3" borderId="0" xfId="1" applyFont="1" applyFill="1" applyAlignment="1">
      <alignment horizontal="left" vertical="center"/>
    </xf>
  </cellXfs>
  <cellStyles count="2">
    <cellStyle name="Обычный" xfId="0" builtinId="0"/>
    <cellStyle name="Normal" xfId="1" xr:uid="{00000000-0005-0000-0000-000000000000}"/>
  </cellStyles>
  <dxfs count="9">
    <dxf>
      <font>
        <color rgb="FF23623D"/>
      </font>
      <fill>
        <patternFill patternType="solid">
          <bgColor rgb="FFEAF4EC"/>
        </patternFill>
      </fill>
    </dxf>
    <dxf>
      <font>
        <color rgb="FF7A5300"/>
      </font>
      <fill>
        <patternFill patternType="solid">
          <bgColor rgb="FFFFF4D6"/>
        </patternFill>
      </fill>
    </dxf>
    <dxf>
      <font>
        <b/>
        <color rgb="FFB42318"/>
      </font>
      <fill>
        <patternFill patternType="solid">
          <bgColor rgb="FFFCE4E4"/>
        </patternFill>
      </fill>
    </dxf>
    <dxf>
      <font>
        <color rgb="FF23623D"/>
      </font>
      <fill>
        <patternFill>
          <bgColor rgb="FFEAF4EC"/>
        </patternFill>
      </fill>
    </dxf>
    <dxf>
      <font>
        <color rgb="FF7A5300"/>
      </font>
      <fill>
        <patternFill>
          <bgColor rgb="FFFFF4D6"/>
        </patternFill>
      </fill>
    </dxf>
    <dxf>
      <font>
        <b/>
        <color rgb="FFB42318"/>
      </font>
      <fill>
        <patternFill>
          <bgColor rgb="FFFCE4E4"/>
        </patternFill>
      </fill>
    </dxf>
    <dxf>
      <font>
        <color rgb="FF23623D"/>
      </font>
      <fill>
        <patternFill>
          <bgColor rgb="FFEAF4EC"/>
        </patternFill>
      </fill>
    </dxf>
    <dxf>
      <font>
        <color rgb="FF7A5300"/>
      </font>
      <fill>
        <patternFill>
          <bgColor rgb="FFFFF4D6"/>
        </patternFill>
      </fill>
    </dxf>
    <dxf>
      <font>
        <b/>
        <color rgb="FFB42318"/>
      </font>
      <fill>
        <patternFill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rkRussiaComparison" displayName="BorkRussiaComparison" ref="A5:G68" totalsRowShown="0">
  <tableColumns count="7">
    <tableColumn id="1" xr3:uid="{00000000-0010-0000-0000-000001000000}" name="№"/>
    <tableColumn id="2" xr3:uid="{00000000-0010-0000-0000-000002000000}" name="Город / регион"/>
    <tableColumn id="3" xr3:uid="{00000000-0010-0000-0000-000003000000}" name="Точка / адрес"/>
    <tableColumn id="4" xr3:uid="{00000000-0010-0000-0000-000004000000}" name="Рейтинг 2ГИС"/>
    <tableColumn id="5" xr3:uid="{00000000-0010-0000-0000-000005000000}" name="Оценок 2ГИС"/>
    <tableColumn id="6" xr3:uid="{00000000-0010-0000-0000-000006000000}" name="Рейтинг Яндекс"/>
    <tableColumn id="7" xr3:uid="{00000000-0010-0000-0000-000007000000}" name="Оценок Яндек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2:J68"/>
  <sheetViews>
    <sheetView showGridLines="0" tabSelected="1" workbookViewId="0">
      <pane ySplit="5" topLeftCell="A16" activePane="bottomLeft" state="frozen"/>
      <selection pane="bottomLeft" activeCell="A4" sqref="A4:G4"/>
    </sheetView>
  </sheetViews>
  <sheetFormatPr baseColWidth="10" defaultColWidth="8.83203125" defaultRowHeight="15"/>
  <cols>
    <col min="1" max="1" width="7" customWidth="1"/>
    <col min="2" max="2" width="23" customWidth="1"/>
    <col min="3" max="3" width="58" customWidth="1"/>
    <col min="4" max="5" width="15" customWidth="1"/>
    <col min="6" max="7" width="16" customWidth="1"/>
    <col min="8" max="8" width="3" customWidth="1"/>
    <col min="9" max="9" width="29" customWidth="1"/>
    <col min="10" max="10" width="16" customWidth="1"/>
  </cols>
  <sheetData>
    <row r="2" spans="1:10" ht="22" customHeight="1">
      <c r="A2" s="13" t="s">
        <v>0</v>
      </c>
      <c r="B2" s="13"/>
      <c r="C2" s="13"/>
      <c r="D2" s="13"/>
      <c r="E2" s="13"/>
      <c r="F2" s="13"/>
      <c r="G2" s="13"/>
      <c r="I2" s="15" t="s">
        <v>1</v>
      </c>
      <c r="J2" s="15"/>
    </row>
    <row r="3" spans="1:10" ht="18" customHeight="1">
      <c r="A3" s="14" t="s">
        <v>2</v>
      </c>
      <c r="B3" s="14"/>
      <c r="C3" s="14"/>
      <c r="D3" s="14"/>
      <c r="E3" s="14"/>
      <c r="F3" s="14"/>
      <c r="G3" s="14"/>
      <c r="I3" s="9" t="s">
        <v>3</v>
      </c>
      <c r="J3" s="10">
        <f>COUNTA(A6:A68)</f>
        <v>63</v>
      </c>
    </row>
    <row r="4" spans="1:10" ht="18" customHeight="1">
      <c r="A4" s="14" t="s">
        <v>4</v>
      </c>
      <c r="B4" s="14"/>
      <c r="C4" s="14"/>
      <c r="D4" s="14"/>
      <c r="E4" s="14"/>
      <c r="F4" s="14"/>
      <c r="G4" s="14"/>
      <c r="I4" s="9" t="s">
        <v>5</v>
      </c>
      <c r="J4" s="10">
        <f>COUNT(D6:D68)</f>
        <v>59</v>
      </c>
    </row>
    <row r="5" spans="1:10" ht="28" customHeight="1">
      <c r="A5" s="12" t="s">
        <v>6</v>
      </c>
      <c r="B5" s="12" t="s">
        <v>7</v>
      </c>
      <c r="C5" s="12" t="s">
        <v>8</v>
      </c>
      <c r="D5" s="12" t="s">
        <v>9</v>
      </c>
      <c r="E5" s="12" t="s">
        <v>10</v>
      </c>
      <c r="F5" s="12" t="s">
        <v>11</v>
      </c>
      <c r="G5" s="12" t="s">
        <v>12</v>
      </c>
      <c r="I5" s="9" t="s">
        <v>13</v>
      </c>
      <c r="J5" s="11">
        <f>AVERAGE(D6:D68)</f>
        <v>3.8932203389830513</v>
      </c>
    </row>
    <row r="6" spans="1:10">
      <c r="A6" s="3">
        <v>1</v>
      </c>
      <c r="B6" s="1" t="s">
        <v>14</v>
      </c>
      <c r="C6" s="1" t="s">
        <v>15</v>
      </c>
      <c r="D6" s="5">
        <v>3.5</v>
      </c>
      <c r="E6" s="7">
        <v>32</v>
      </c>
      <c r="F6" s="5">
        <v>4.3</v>
      </c>
      <c r="G6" s="7">
        <v>160</v>
      </c>
      <c r="I6" s="9" t="s">
        <v>16</v>
      </c>
      <c r="J6" s="10">
        <f>COUNTIFS(D6:D68,"&gt;0",D6:D68,"&lt;3")</f>
        <v>8</v>
      </c>
    </row>
    <row r="7" spans="1:10">
      <c r="A7" s="3">
        <v>2</v>
      </c>
      <c r="B7" s="1" t="s">
        <v>14</v>
      </c>
      <c r="C7" s="1" t="s">
        <v>17</v>
      </c>
      <c r="D7" s="5">
        <v>2.9</v>
      </c>
      <c r="E7" s="7">
        <v>19</v>
      </c>
      <c r="F7" s="5">
        <v>5</v>
      </c>
      <c r="G7" s="7">
        <v>229</v>
      </c>
      <c r="I7" s="9" t="s">
        <v>18</v>
      </c>
      <c r="J7" s="10">
        <f>COUNTBLANK(D6:D68)</f>
        <v>4</v>
      </c>
    </row>
    <row r="8" spans="1:10">
      <c r="A8" s="3">
        <v>3</v>
      </c>
      <c r="B8" s="1" t="s">
        <v>14</v>
      </c>
      <c r="C8" s="1" t="s">
        <v>19</v>
      </c>
      <c r="D8" s="5">
        <v>2.9</v>
      </c>
      <c r="E8" s="7">
        <v>18</v>
      </c>
      <c r="F8" s="5">
        <v>4.3</v>
      </c>
      <c r="G8" s="7">
        <v>51</v>
      </c>
      <c r="I8" s="9" t="s">
        <v>20</v>
      </c>
      <c r="J8" s="10">
        <f>COUNT(F6:F68)</f>
        <v>61</v>
      </c>
    </row>
    <row r="9" spans="1:10">
      <c r="A9" s="3">
        <v>4</v>
      </c>
      <c r="B9" s="1" t="s">
        <v>14</v>
      </c>
      <c r="C9" s="1" t="s">
        <v>21</v>
      </c>
      <c r="D9" s="5"/>
      <c r="E9" s="7"/>
      <c r="F9" s="5">
        <v>4.3</v>
      </c>
      <c r="G9" s="7">
        <v>12</v>
      </c>
      <c r="I9" s="9" t="s">
        <v>22</v>
      </c>
      <c r="J9" s="11">
        <f>AVERAGE(F6:F68)</f>
        <v>4.5032786885245892</v>
      </c>
    </row>
    <row r="10" spans="1:10">
      <c r="A10" s="3">
        <v>5</v>
      </c>
      <c r="B10" s="1" t="s">
        <v>14</v>
      </c>
      <c r="C10" s="1" t="s">
        <v>23</v>
      </c>
      <c r="D10" s="5">
        <v>4.5999999999999996</v>
      </c>
      <c r="E10" s="7">
        <v>27</v>
      </c>
      <c r="F10" s="5">
        <v>4.8</v>
      </c>
      <c r="G10" s="7">
        <v>271</v>
      </c>
      <c r="I10" s="9" t="s">
        <v>24</v>
      </c>
      <c r="J10" s="10">
        <f>COUNTIFS(F6:F68,"&gt;0",F6:F68,"&lt;3")</f>
        <v>0</v>
      </c>
    </row>
    <row r="11" spans="1:10">
      <c r="A11" s="3">
        <v>6</v>
      </c>
      <c r="B11" s="1" t="s">
        <v>14</v>
      </c>
      <c r="C11" s="1" t="s">
        <v>25</v>
      </c>
      <c r="D11" s="5">
        <v>4</v>
      </c>
      <c r="E11" s="7">
        <v>21</v>
      </c>
      <c r="F11" s="5">
        <v>4.5999999999999996</v>
      </c>
      <c r="G11" s="7">
        <v>65</v>
      </c>
      <c r="I11" s="9" t="s">
        <v>26</v>
      </c>
      <c r="J11" s="10">
        <f>COUNTBLANK(F6:F68)</f>
        <v>2</v>
      </c>
    </row>
    <row r="12" spans="1:10">
      <c r="A12" s="3">
        <v>7</v>
      </c>
      <c r="B12" s="1" t="s">
        <v>14</v>
      </c>
      <c r="C12" s="1" t="s">
        <v>27</v>
      </c>
      <c r="D12" s="5">
        <v>5</v>
      </c>
      <c r="E12" s="7">
        <v>8</v>
      </c>
      <c r="F12" s="5">
        <v>4.2</v>
      </c>
      <c r="G12" s="7">
        <v>16</v>
      </c>
    </row>
    <row r="13" spans="1:10">
      <c r="A13" s="3">
        <v>8</v>
      </c>
      <c r="B13" s="1" t="s">
        <v>14</v>
      </c>
      <c r="C13" s="1" t="s">
        <v>28</v>
      </c>
      <c r="D13" s="5">
        <v>4.4000000000000004</v>
      </c>
      <c r="E13" s="7">
        <v>22</v>
      </c>
      <c r="F13" s="5">
        <v>4.5</v>
      </c>
      <c r="G13" s="7">
        <v>83</v>
      </c>
    </row>
    <row r="14" spans="1:10">
      <c r="A14" s="3">
        <v>9</v>
      </c>
      <c r="B14" s="1" t="s">
        <v>14</v>
      </c>
      <c r="C14" s="1" t="s">
        <v>29</v>
      </c>
      <c r="D14" s="5">
        <v>4.4000000000000004</v>
      </c>
      <c r="E14" s="7">
        <v>12</v>
      </c>
      <c r="F14" s="5">
        <v>4.4000000000000004</v>
      </c>
      <c r="G14" s="7">
        <v>83</v>
      </c>
    </row>
    <row r="15" spans="1:10">
      <c r="A15" s="3">
        <v>10</v>
      </c>
      <c r="B15" s="1" t="s">
        <v>14</v>
      </c>
      <c r="C15" s="1" t="s">
        <v>30</v>
      </c>
      <c r="D15" s="5"/>
      <c r="E15" s="7"/>
      <c r="F15" s="5">
        <v>4.4000000000000004</v>
      </c>
      <c r="G15" s="7">
        <v>32</v>
      </c>
    </row>
    <row r="16" spans="1:10">
      <c r="A16" s="3">
        <v>11</v>
      </c>
      <c r="B16" s="1" t="s">
        <v>14</v>
      </c>
      <c r="C16" s="1" t="s">
        <v>31</v>
      </c>
      <c r="D16" s="5">
        <v>4.7</v>
      </c>
      <c r="E16" s="7">
        <v>23</v>
      </c>
      <c r="F16" s="5">
        <v>4.4000000000000004</v>
      </c>
      <c r="G16" s="7">
        <v>111</v>
      </c>
    </row>
    <row r="17" spans="1:7">
      <c r="A17" s="3">
        <v>12</v>
      </c>
      <c r="B17" s="1" t="s">
        <v>14</v>
      </c>
      <c r="C17" s="1" t="s">
        <v>32</v>
      </c>
      <c r="D17" s="5">
        <v>3.8</v>
      </c>
      <c r="E17" s="7">
        <v>14</v>
      </c>
      <c r="F17" s="5">
        <v>4.5</v>
      </c>
      <c r="G17" s="7">
        <v>1064</v>
      </c>
    </row>
    <row r="18" spans="1:7">
      <c r="A18" s="3">
        <v>13</v>
      </c>
      <c r="B18" s="1" t="s">
        <v>14</v>
      </c>
      <c r="C18" s="1" t="s">
        <v>33</v>
      </c>
      <c r="D18" s="5">
        <v>4</v>
      </c>
      <c r="E18" s="7">
        <v>16</v>
      </c>
      <c r="F18" s="5">
        <v>4.4000000000000004</v>
      </c>
      <c r="G18" s="7">
        <v>88</v>
      </c>
    </row>
    <row r="19" spans="1:7">
      <c r="A19" s="3">
        <v>14</v>
      </c>
      <c r="B19" s="1" t="s">
        <v>14</v>
      </c>
      <c r="C19" s="1" t="s">
        <v>34</v>
      </c>
      <c r="D19" s="5">
        <v>2</v>
      </c>
      <c r="E19" s="7">
        <v>11</v>
      </c>
      <c r="F19" s="5">
        <v>4.4000000000000004</v>
      </c>
      <c r="G19" s="7">
        <v>87</v>
      </c>
    </row>
    <row r="20" spans="1:7">
      <c r="A20" s="3">
        <v>15</v>
      </c>
      <c r="B20" s="1" t="s">
        <v>14</v>
      </c>
      <c r="C20" s="1" t="s">
        <v>35</v>
      </c>
      <c r="D20" s="5">
        <v>2.6</v>
      </c>
      <c r="E20" s="7">
        <v>11</v>
      </c>
      <c r="F20" s="5">
        <v>4.4000000000000004</v>
      </c>
      <c r="G20" s="7">
        <v>68</v>
      </c>
    </row>
    <row r="21" spans="1:7">
      <c r="A21" s="3">
        <v>16</v>
      </c>
      <c r="B21" s="1" t="s">
        <v>14</v>
      </c>
      <c r="C21" s="1" t="s">
        <v>36</v>
      </c>
      <c r="D21" s="5">
        <v>3.2</v>
      </c>
      <c r="E21" s="7">
        <v>21</v>
      </c>
      <c r="F21" s="5">
        <v>4.0999999999999996</v>
      </c>
      <c r="G21" s="7">
        <v>112</v>
      </c>
    </row>
    <row r="22" spans="1:7">
      <c r="A22" s="3">
        <v>17</v>
      </c>
      <c r="B22" s="1" t="s">
        <v>14</v>
      </c>
      <c r="C22" s="1" t="s">
        <v>37</v>
      </c>
      <c r="D22" s="5">
        <v>4</v>
      </c>
      <c r="E22" s="7">
        <v>23</v>
      </c>
      <c r="F22" s="5">
        <v>4.5</v>
      </c>
      <c r="G22" s="7">
        <v>94</v>
      </c>
    </row>
    <row r="23" spans="1:7">
      <c r="A23" s="3">
        <v>18</v>
      </c>
      <c r="B23" s="1" t="s">
        <v>14</v>
      </c>
      <c r="C23" s="1" t="s">
        <v>38</v>
      </c>
      <c r="D23" s="5">
        <v>5</v>
      </c>
      <c r="E23" s="7">
        <v>10</v>
      </c>
      <c r="F23" s="5">
        <v>4.5999999999999996</v>
      </c>
      <c r="G23" s="7">
        <v>47</v>
      </c>
    </row>
    <row r="24" spans="1:7">
      <c r="A24" s="3">
        <v>19</v>
      </c>
      <c r="B24" s="1" t="s">
        <v>14</v>
      </c>
      <c r="C24" s="1" t="s">
        <v>39</v>
      </c>
      <c r="D24" s="5">
        <v>3.5</v>
      </c>
      <c r="E24" s="7">
        <v>9</v>
      </c>
      <c r="F24" s="5">
        <v>4.7</v>
      </c>
      <c r="G24" s="7">
        <v>49</v>
      </c>
    </row>
    <row r="25" spans="1:7">
      <c r="A25" s="3">
        <v>20</v>
      </c>
      <c r="B25" s="1" t="s">
        <v>14</v>
      </c>
      <c r="C25" s="1" t="s">
        <v>40</v>
      </c>
      <c r="D25" s="5">
        <v>3.4</v>
      </c>
      <c r="E25" s="7">
        <v>15</v>
      </c>
      <c r="F25" s="5">
        <v>4.2</v>
      </c>
      <c r="G25" s="7">
        <v>137</v>
      </c>
    </row>
    <row r="26" spans="1:7">
      <c r="A26" s="3">
        <v>21</v>
      </c>
      <c r="B26" s="1" t="s">
        <v>14</v>
      </c>
      <c r="C26" s="1" t="s">
        <v>41</v>
      </c>
      <c r="D26" s="5">
        <v>5</v>
      </c>
      <c r="E26" s="7">
        <v>6</v>
      </c>
      <c r="F26" s="5">
        <v>4.5999999999999996</v>
      </c>
      <c r="G26" s="7">
        <v>63</v>
      </c>
    </row>
    <row r="27" spans="1:7">
      <c r="A27" s="3">
        <v>22</v>
      </c>
      <c r="B27" s="1" t="s">
        <v>42</v>
      </c>
      <c r="C27" s="1" t="s">
        <v>43</v>
      </c>
      <c r="D27" s="5">
        <v>3.8</v>
      </c>
      <c r="E27" s="7">
        <v>8</v>
      </c>
      <c r="F27" s="5">
        <v>4.4000000000000004</v>
      </c>
      <c r="G27" s="7">
        <v>95</v>
      </c>
    </row>
    <row r="28" spans="1:7">
      <c r="A28" s="3">
        <v>23</v>
      </c>
      <c r="B28" s="1" t="s">
        <v>14</v>
      </c>
      <c r="C28" s="1" t="s">
        <v>44</v>
      </c>
      <c r="D28" s="5">
        <v>3.6</v>
      </c>
      <c r="E28" s="7">
        <v>11</v>
      </c>
      <c r="F28" s="5">
        <v>4.8</v>
      </c>
      <c r="G28" s="7">
        <v>120</v>
      </c>
    </row>
    <row r="29" spans="1:7">
      <c r="A29" s="3">
        <v>24</v>
      </c>
      <c r="B29" s="1" t="s">
        <v>42</v>
      </c>
      <c r="C29" s="1" t="s">
        <v>45</v>
      </c>
      <c r="D29" s="5">
        <v>5</v>
      </c>
      <c r="E29" s="7">
        <v>10</v>
      </c>
      <c r="F29" s="5">
        <v>4.5</v>
      </c>
      <c r="G29" s="7">
        <v>110</v>
      </c>
    </row>
    <row r="30" spans="1:7">
      <c r="A30" s="3">
        <v>25</v>
      </c>
      <c r="B30" s="1" t="s">
        <v>42</v>
      </c>
      <c r="C30" s="1" t="s">
        <v>46</v>
      </c>
      <c r="D30" s="5">
        <v>1.7</v>
      </c>
      <c r="E30" s="7">
        <v>3</v>
      </c>
      <c r="F30" s="5">
        <v>4.8</v>
      </c>
      <c r="G30" s="7">
        <v>68</v>
      </c>
    </row>
    <row r="31" spans="1:7">
      <c r="A31" s="3">
        <v>26</v>
      </c>
      <c r="B31" s="1" t="s">
        <v>42</v>
      </c>
      <c r="C31" s="1" t="s">
        <v>47</v>
      </c>
      <c r="D31" s="5">
        <v>1.4</v>
      </c>
      <c r="E31" s="7">
        <v>3</v>
      </c>
      <c r="F31" s="5">
        <v>4.4000000000000004</v>
      </c>
      <c r="G31" s="7">
        <v>56</v>
      </c>
    </row>
    <row r="32" spans="1:7">
      <c r="A32" s="3">
        <v>27</v>
      </c>
      <c r="B32" s="1" t="s">
        <v>42</v>
      </c>
      <c r="C32" s="1" t="s">
        <v>48</v>
      </c>
      <c r="D32" s="5"/>
      <c r="E32" s="7"/>
      <c r="F32" s="5">
        <v>4.7</v>
      </c>
      <c r="G32" s="7">
        <v>61</v>
      </c>
    </row>
    <row r="33" spans="1:7">
      <c r="A33" s="3">
        <v>28</v>
      </c>
      <c r="B33" s="1" t="s">
        <v>14</v>
      </c>
      <c r="C33" s="1" t="s">
        <v>49</v>
      </c>
      <c r="D33" s="5">
        <v>4.2</v>
      </c>
      <c r="E33" s="7">
        <v>15</v>
      </c>
      <c r="F33" s="5">
        <v>4.5</v>
      </c>
      <c r="G33" s="7">
        <v>96</v>
      </c>
    </row>
    <row r="34" spans="1:7">
      <c r="A34" s="3">
        <v>29</v>
      </c>
      <c r="B34" s="1" t="s">
        <v>42</v>
      </c>
      <c r="C34" s="1" t="s">
        <v>50</v>
      </c>
      <c r="D34" s="5">
        <v>3.1</v>
      </c>
      <c r="E34" s="7">
        <v>4</v>
      </c>
      <c r="F34" s="5">
        <v>4.4000000000000004</v>
      </c>
      <c r="G34" s="7">
        <v>102</v>
      </c>
    </row>
    <row r="35" spans="1:7">
      <c r="A35" s="3">
        <v>30</v>
      </c>
      <c r="B35" s="1" t="s">
        <v>51</v>
      </c>
      <c r="C35" s="1" t="s">
        <v>52</v>
      </c>
      <c r="D35" s="5">
        <v>3.4</v>
      </c>
      <c r="E35" s="7">
        <v>89</v>
      </c>
      <c r="F35" s="5">
        <v>4.9000000000000004</v>
      </c>
      <c r="G35" s="7">
        <v>176</v>
      </c>
    </row>
    <row r="36" spans="1:7">
      <c r="A36" s="3">
        <v>31</v>
      </c>
      <c r="B36" s="1" t="s">
        <v>53</v>
      </c>
      <c r="C36" s="1" t="s">
        <v>54</v>
      </c>
      <c r="D36" s="5">
        <v>4.5</v>
      </c>
      <c r="E36" s="7">
        <v>64</v>
      </c>
      <c r="F36" s="5">
        <v>4.4000000000000004</v>
      </c>
      <c r="G36" s="7">
        <v>34</v>
      </c>
    </row>
    <row r="37" spans="1:7">
      <c r="A37" s="3">
        <v>32</v>
      </c>
      <c r="B37" s="1" t="s">
        <v>55</v>
      </c>
      <c r="C37" s="1" t="s">
        <v>56</v>
      </c>
      <c r="D37" s="5">
        <v>4.0999999999999996</v>
      </c>
      <c r="E37" s="7">
        <v>38</v>
      </c>
      <c r="F37" s="5">
        <v>4.2</v>
      </c>
      <c r="G37" s="7">
        <v>28</v>
      </c>
    </row>
    <row r="38" spans="1:7">
      <c r="A38" s="3">
        <v>33</v>
      </c>
      <c r="B38" s="1" t="s">
        <v>57</v>
      </c>
      <c r="C38" s="1" t="s">
        <v>58</v>
      </c>
      <c r="D38" s="5">
        <v>4.4000000000000004</v>
      </c>
      <c r="E38" s="7">
        <v>79</v>
      </c>
      <c r="F38" s="5">
        <v>4.4000000000000004</v>
      </c>
      <c r="G38" s="7">
        <v>42</v>
      </c>
    </row>
    <row r="39" spans="1:7">
      <c r="A39" s="3">
        <v>34</v>
      </c>
      <c r="B39" s="1" t="s">
        <v>59</v>
      </c>
      <c r="C39" s="1" t="s">
        <v>60</v>
      </c>
      <c r="D39" s="5">
        <v>4.5999999999999996</v>
      </c>
      <c r="E39" s="7">
        <v>41</v>
      </c>
      <c r="F39" s="5">
        <v>4.5999999999999996</v>
      </c>
      <c r="G39" s="7">
        <v>107</v>
      </c>
    </row>
    <row r="40" spans="1:7">
      <c r="A40" s="3">
        <v>35</v>
      </c>
      <c r="B40" s="1" t="s">
        <v>59</v>
      </c>
      <c r="C40" s="1" t="s">
        <v>61</v>
      </c>
      <c r="D40" s="5">
        <v>3.4</v>
      </c>
      <c r="E40" s="7">
        <v>37</v>
      </c>
      <c r="F40" s="5">
        <v>4.3</v>
      </c>
      <c r="G40" s="7">
        <v>72</v>
      </c>
    </row>
    <row r="41" spans="1:7">
      <c r="A41" s="3">
        <v>36</v>
      </c>
      <c r="B41" s="1" t="s">
        <v>62</v>
      </c>
      <c r="C41" s="1" t="s">
        <v>63</v>
      </c>
      <c r="D41" s="5">
        <v>3.7</v>
      </c>
      <c r="E41" s="7">
        <v>26</v>
      </c>
      <c r="F41" s="5">
        <v>4.7</v>
      </c>
      <c r="G41" s="7">
        <v>77</v>
      </c>
    </row>
    <row r="42" spans="1:7">
      <c r="A42" s="3">
        <v>37</v>
      </c>
      <c r="B42" s="1" t="s">
        <v>62</v>
      </c>
      <c r="C42" s="1" t="s">
        <v>64</v>
      </c>
      <c r="D42" s="5">
        <v>4</v>
      </c>
      <c r="E42" s="7">
        <v>22</v>
      </c>
      <c r="F42" s="5">
        <v>4.5999999999999996</v>
      </c>
      <c r="G42" s="7">
        <v>40</v>
      </c>
    </row>
    <row r="43" spans="1:7">
      <c r="A43" s="3">
        <v>38</v>
      </c>
      <c r="B43" s="1" t="s">
        <v>65</v>
      </c>
      <c r="C43" s="1" t="s">
        <v>66</v>
      </c>
      <c r="D43" s="5">
        <v>3.4</v>
      </c>
      <c r="E43" s="7">
        <v>28</v>
      </c>
      <c r="F43" s="5">
        <v>4.7</v>
      </c>
      <c r="G43" s="7">
        <v>51</v>
      </c>
    </row>
    <row r="44" spans="1:7">
      <c r="A44" s="3">
        <v>39</v>
      </c>
      <c r="B44" s="1" t="s">
        <v>67</v>
      </c>
      <c r="C44" s="1" t="s">
        <v>68</v>
      </c>
      <c r="D44" s="5">
        <v>3.8</v>
      </c>
      <c r="E44" s="7">
        <v>20</v>
      </c>
      <c r="F44" s="5">
        <v>4.5</v>
      </c>
      <c r="G44" s="7">
        <v>59</v>
      </c>
    </row>
    <row r="45" spans="1:7">
      <c r="A45" s="3">
        <v>40</v>
      </c>
      <c r="B45" s="1" t="s">
        <v>67</v>
      </c>
      <c r="C45" s="1" t="s">
        <v>69</v>
      </c>
      <c r="D45" s="5">
        <v>5</v>
      </c>
      <c r="E45" s="7">
        <v>2</v>
      </c>
      <c r="F45" s="5">
        <v>4.5</v>
      </c>
      <c r="G45" s="7">
        <v>12</v>
      </c>
    </row>
    <row r="46" spans="1:7">
      <c r="A46" s="3">
        <v>41</v>
      </c>
      <c r="B46" s="1" t="s">
        <v>70</v>
      </c>
      <c r="C46" s="1" t="s">
        <v>71</v>
      </c>
      <c r="D46" s="5">
        <v>3.9</v>
      </c>
      <c r="E46" s="7">
        <v>106</v>
      </c>
      <c r="F46" s="5">
        <v>4.2</v>
      </c>
      <c r="G46" s="7">
        <v>33</v>
      </c>
    </row>
    <row r="47" spans="1:7">
      <c r="A47" s="3">
        <v>42</v>
      </c>
      <c r="B47" s="1" t="s">
        <v>72</v>
      </c>
      <c r="C47" s="1" t="s">
        <v>73</v>
      </c>
      <c r="D47" s="5">
        <v>2.7</v>
      </c>
      <c r="E47" s="7">
        <v>4</v>
      </c>
      <c r="F47" s="5">
        <v>4.8</v>
      </c>
      <c r="G47" s="7">
        <v>87</v>
      </c>
    </row>
    <row r="48" spans="1:7">
      <c r="A48" s="3">
        <v>43</v>
      </c>
      <c r="B48" s="1" t="s">
        <v>74</v>
      </c>
      <c r="C48" s="1" t="s">
        <v>75</v>
      </c>
      <c r="D48" s="5">
        <v>3.1</v>
      </c>
      <c r="E48" s="7">
        <v>6</v>
      </c>
      <c r="F48" s="5">
        <v>4.0999999999999996</v>
      </c>
      <c r="G48" s="7">
        <v>17</v>
      </c>
    </row>
    <row r="49" spans="1:7">
      <c r="A49" s="3">
        <v>44</v>
      </c>
      <c r="B49" s="1" t="s">
        <v>74</v>
      </c>
      <c r="C49" s="1" t="s">
        <v>76</v>
      </c>
      <c r="D49" s="5">
        <v>3.7</v>
      </c>
      <c r="E49" s="7">
        <v>4</v>
      </c>
      <c r="F49" s="5">
        <v>4.4000000000000004</v>
      </c>
      <c r="G49" s="7">
        <v>51</v>
      </c>
    </row>
    <row r="50" spans="1:7">
      <c r="A50" s="3">
        <v>45</v>
      </c>
      <c r="B50" s="1" t="s">
        <v>77</v>
      </c>
      <c r="C50" s="1" t="s">
        <v>78</v>
      </c>
      <c r="D50" s="5"/>
      <c r="E50" s="7"/>
      <c r="F50" s="5">
        <v>4.9000000000000004</v>
      </c>
      <c r="G50" s="7">
        <v>79</v>
      </c>
    </row>
    <row r="51" spans="1:7">
      <c r="A51" s="3">
        <v>46</v>
      </c>
      <c r="B51" s="1" t="s">
        <v>77</v>
      </c>
      <c r="C51" s="1" t="s">
        <v>79</v>
      </c>
      <c r="D51" s="5">
        <v>2</v>
      </c>
      <c r="E51" s="7">
        <v>10</v>
      </c>
      <c r="F51" s="5">
        <v>4.3</v>
      </c>
      <c r="G51" s="7">
        <v>85</v>
      </c>
    </row>
    <row r="52" spans="1:7">
      <c r="A52" s="3">
        <v>47</v>
      </c>
      <c r="B52" s="1" t="s">
        <v>80</v>
      </c>
      <c r="C52" s="1" t="s">
        <v>81</v>
      </c>
      <c r="D52" s="5">
        <v>4.8</v>
      </c>
      <c r="E52" s="7">
        <v>119</v>
      </c>
      <c r="F52" s="5">
        <v>4.7</v>
      </c>
      <c r="G52" s="7">
        <v>657</v>
      </c>
    </row>
    <row r="53" spans="1:7">
      <c r="A53" s="3">
        <v>48</v>
      </c>
      <c r="B53" s="1" t="s">
        <v>80</v>
      </c>
      <c r="C53" s="1" t="s">
        <v>82</v>
      </c>
      <c r="D53" s="5">
        <v>5</v>
      </c>
      <c r="E53" s="7">
        <v>50</v>
      </c>
      <c r="F53" s="5">
        <v>4.9000000000000004</v>
      </c>
      <c r="G53" s="7">
        <v>244</v>
      </c>
    </row>
    <row r="54" spans="1:7">
      <c r="A54" s="3">
        <v>49</v>
      </c>
      <c r="B54" s="1" t="s">
        <v>80</v>
      </c>
      <c r="C54" s="1" t="s">
        <v>83</v>
      </c>
      <c r="D54" s="5">
        <v>4.0999999999999996</v>
      </c>
      <c r="E54" s="7">
        <v>25</v>
      </c>
      <c r="F54" s="5">
        <v>4.7</v>
      </c>
      <c r="G54" s="7">
        <v>119</v>
      </c>
    </row>
    <row r="55" spans="1:7">
      <c r="A55" s="3">
        <v>50</v>
      </c>
      <c r="B55" s="1" t="s">
        <v>80</v>
      </c>
      <c r="C55" s="1" t="s">
        <v>84</v>
      </c>
      <c r="D55" s="5">
        <v>4.0999999999999996</v>
      </c>
      <c r="E55" s="7">
        <v>8</v>
      </c>
      <c r="F55" s="5">
        <v>4.3</v>
      </c>
      <c r="G55" s="7">
        <v>14</v>
      </c>
    </row>
    <row r="56" spans="1:7">
      <c r="A56" s="3">
        <v>51</v>
      </c>
      <c r="B56" s="1" t="s">
        <v>80</v>
      </c>
      <c r="C56" s="1" t="s">
        <v>85</v>
      </c>
      <c r="D56" s="5">
        <v>5</v>
      </c>
      <c r="E56" s="7">
        <v>25</v>
      </c>
      <c r="F56" s="5">
        <v>4.9000000000000004</v>
      </c>
      <c r="G56" s="7">
        <v>189</v>
      </c>
    </row>
    <row r="57" spans="1:7">
      <c r="A57" s="3">
        <v>52</v>
      </c>
      <c r="B57" s="1" t="s">
        <v>80</v>
      </c>
      <c r="C57" s="1" t="s">
        <v>86</v>
      </c>
      <c r="D57" s="5">
        <v>4.3</v>
      </c>
      <c r="E57" s="7">
        <v>20</v>
      </c>
      <c r="F57" s="5">
        <v>4.4000000000000004</v>
      </c>
      <c r="G57" s="7">
        <v>55</v>
      </c>
    </row>
    <row r="58" spans="1:7">
      <c r="A58" s="3">
        <v>53</v>
      </c>
      <c r="B58" s="1" t="s">
        <v>87</v>
      </c>
      <c r="C58" s="1" t="s">
        <v>88</v>
      </c>
      <c r="D58" s="5">
        <v>4.4000000000000004</v>
      </c>
      <c r="E58" s="7">
        <v>60</v>
      </c>
      <c r="F58" s="5">
        <v>5</v>
      </c>
      <c r="G58" s="7">
        <v>97</v>
      </c>
    </row>
    <row r="59" spans="1:7">
      <c r="A59" s="3">
        <v>54</v>
      </c>
      <c r="B59" s="1" t="s">
        <v>89</v>
      </c>
      <c r="C59" s="1" t="s">
        <v>90</v>
      </c>
      <c r="D59" s="5">
        <v>5</v>
      </c>
      <c r="E59" s="7">
        <v>4</v>
      </c>
      <c r="F59" s="5"/>
      <c r="G59" s="7"/>
    </row>
    <row r="60" spans="1:7">
      <c r="A60" s="3">
        <v>55</v>
      </c>
      <c r="B60" s="1" t="s">
        <v>91</v>
      </c>
      <c r="C60" s="1" t="s">
        <v>92</v>
      </c>
      <c r="D60" s="5">
        <v>4.5</v>
      </c>
      <c r="E60" s="7">
        <v>113</v>
      </c>
      <c r="F60" s="5">
        <v>4.7</v>
      </c>
      <c r="G60" s="7">
        <v>60</v>
      </c>
    </row>
    <row r="61" spans="1:7">
      <c r="A61" s="3">
        <v>56</v>
      </c>
      <c r="B61" s="1" t="s">
        <v>93</v>
      </c>
      <c r="C61" s="1" t="s">
        <v>94</v>
      </c>
      <c r="D61" s="5">
        <v>3.4</v>
      </c>
      <c r="E61" s="7">
        <v>38</v>
      </c>
      <c r="F61" s="5">
        <v>4.5</v>
      </c>
      <c r="G61" s="7">
        <v>86</v>
      </c>
    </row>
    <row r="62" spans="1:7">
      <c r="A62" s="3">
        <v>57</v>
      </c>
      <c r="B62" s="1" t="s">
        <v>95</v>
      </c>
      <c r="C62" s="1" t="s">
        <v>96</v>
      </c>
      <c r="D62" s="5">
        <v>4.2</v>
      </c>
      <c r="E62" s="7">
        <v>11</v>
      </c>
      <c r="F62" s="5">
        <v>4.2</v>
      </c>
      <c r="G62" s="7">
        <v>11</v>
      </c>
    </row>
    <row r="63" spans="1:7">
      <c r="A63" s="3">
        <v>58</v>
      </c>
      <c r="B63" s="1" t="s">
        <v>95</v>
      </c>
      <c r="C63" s="1" t="s">
        <v>97</v>
      </c>
      <c r="D63" s="5">
        <v>3.8</v>
      </c>
      <c r="E63" s="7">
        <v>29</v>
      </c>
      <c r="F63" s="5">
        <v>4</v>
      </c>
      <c r="G63" s="7">
        <v>53</v>
      </c>
    </row>
    <row r="64" spans="1:7">
      <c r="A64" s="3">
        <v>59</v>
      </c>
      <c r="B64" s="1" t="s">
        <v>95</v>
      </c>
      <c r="C64" s="1" t="s">
        <v>98</v>
      </c>
      <c r="D64" s="5">
        <v>5</v>
      </c>
      <c r="E64" s="7">
        <v>8</v>
      </c>
      <c r="F64" s="5">
        <v>4.9000000000000004</v>
      </c>
      <c r="G64" s="7">
        <v>72</v>
      </c>
    </row>
    <row r="65" spans="1:7">
      <c r="A65" s="3">
        <v>60</v>
      </c>
      <c r="B65" s="1" t="s">
        <v>99</v>
      </c>
      <c r="C65" s="1" t="s">
        <v>100</v>
      </c>
      <c r="D65" s="5">
        <v>4</v>
      </c>
      <c r="E65" s="7">
        <v>30</v>
      </c>
      <c r="F65" s="5">
        <v>4.4000000000000004</v>
      </c>
      <c r="G65" s="7">
        <v>52</v>
      </c>
    </row>
    <row r="66" spans="1:7">
      <c r="A66" s="3">
        <v>61</v>
      </c>
      <c r="B66" s="1" t="s">
        <v>101</v>
      </c>
      <c r="C66" s="1" t="s">
        <v>102</v>
      </c>
      <c r="D66" s="5">
        <v>4.5</v>
      </c>
      <c r="E66" s="7">
        <v>45</v>
      </c>
      <c r="F66" s="5"/>
      <c r="G66" s="7"/>
    </row>
    <row r="67" spans="1:7">
      <c r="A67" s="3">
        <v>62</v>
      </c>
      <c r="B67" s="1" t="s">
        <v>103</v>
      </c>
      <c r="C67" s="1" t="s">
        <v>104</v>
      </c>
      <c r="D67" s="5">
        <v>3.6</v>
      </c>
      <c r="E67" s="7">
        <v>52</v>
      </c>
      <c r="F67" s="5">
        <v>4.0999999999999996</v>
      </c>
      <c r="G67" s="7">
        <v>17</v>
      </c>
    </row>
    <row r="68" spans="1:7">
      <c r="A68" s="4">
        <v>63</v>
      </c>
      <c r="B68" s="2" t="s">
        <v>105</v>
      </c>
      <c r="C68" s="2" t="s">
        <v>106</v>
      </c>
      <c r="D68" s="6">
        <v>4.5999999999999996</v>
      </c>
      <c r="E68" s="8">
        <v>79</v>
      </c>
      <c r="F68" s="6">
        <v>4.4000000000000004</v>
      </c>
      <c r="G68" s="8">
        <v>116</v>
      </c>
    </row>
  </sheetData>
  <mergeCells count="4">
    <mergeCell ref="A2:G2"/>
    <mergeCell ref="A3:G3"/>
    <mergeCell ref="A4:G4"/>
    <mergeCell ref="I2:J2"/>
  </mergeCells>
  <conditionalFormatting sqref="D6:D68">
    <cfRule type="cellIs" dxfId="8" priority="1" operator="lessThan">
      <formula>3</formula>
    </cfRule>
    <cfRule type="cellIs" dxfId="7" priority="2" operator="between">
      <formula>3</formula>
      <formula>3.9</formula>
    </cfRule>
    <cfRule type="cellIs" dxfId="6" priority="3" operator="greaterThanOrEqual">
      <formula>4</formula>
    </cfRule>
  </conditionalFormatting>
  <conditionalFormatting sqref="F6:F68">
    <cfRule type="cellIs" dxfId="5" priority="4" operator="lessThan">
      <formula>3</formula>
    </cfRule>
    <cfRule type="cellIs" dxfId="4" priority="5" operator="between">
      <formula>3</formula>
      <formula>3.9</formula>
    </cfRule>
    <cfRule type="cellIs" dxfId="3" priority="6" operator="greaterThanOrEqual">
      <formula>4</formula>
    </cfRule>
    <cfRule type="cellIs" dxfId="2" priority="7" operator="lessThan">
      <formula>3</formula>
    </cfRule>
    <cfRule type="cellIs" dxfId="1" priority="8" operator="between">
      <formula>3</formula>
      <formula>3.9</formula>
    </cfRule>
    <cfRule type="cellIs" dxfId="0" priority="9" operator="greaterThanOrEqual">
      <formula>4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Бутики BORK РФ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Зорин</cp:lastModifiedBy>
  <dcterms:modified xsi:type="dcterms:W3CDTF">2026-09-23T14:06:52Z</dcterms:modified>
</cp:coreProperties>
</file>